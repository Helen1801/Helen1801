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ugunyaka\Desktop\"/>
    </mc:Choice>
  </mc:AlternateContent>
  <xr:revisionPtr revIDLastSave="0" documentId="8_{7875021B-3B49-4BB2-A190-0E29E06679A4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Project_PRO" sheetId="1" r:id="rId1"/>
  </sheets>
  <calcPr calcId="191029"/>
</workbook>
</file>

<file path=xl/calcChain.xml><?xml version="1.0" encoding="utf-8"?>
<calcChain xmlns="http://schemas.openxmlformats.org/spreadsheetml/2006/main">
  <c r="C2" i="1" l="1"/>
  <c r="C9" i="1"/>
  <c r="C15" i="1"/>
  <c r="C20" i="1"/>
  <c r="C26" i="1"/>
  <c r="C32" i="1"/>
  <c r="C40" i="1"/>
  <c r="C48" i="1"/>
  <c r="C54" i="1"/>
  <c r="C60" i="1"/>
  <c r="C66" i="1"/>
</calcChain>
</file>

<file path=xl/sharedStrings.xml><?xml version="1.0" encoding="utf-8"?>
<sst xmlns="http://schemas.openxmlformats.org/spreadsheetml/2006/main" count="1264" uniqueCount="93">
  <si>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</si>
  <si>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</si>
  <si>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</si>
  <si>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</si>
  <si>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</si>
  <si>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</si>
  <si>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</si>
  <si>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</si>
  <si>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</si>
  <si>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</si>
  <si>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</si>
  <si>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</si>
  <si>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</si>
  <si>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</si>
  <si>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</si>
  <si>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</si>
  <si>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</si>
  <si>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101</t>
  </si>
  <si>
    <t>PRO -&gt; Товары</t>
  </si>
  <si>
    <t>Нет</t>
  </si>
  <si>
    <t/>
  </si>
  <si>
    <t>Средний</t>
  </si>
  <si>
    <t>Готов</t>
  </si>
  <si>
    <t>9/19/2026 14:45:08</t>
  </si>
  <si>
    <t>Елена</t>
  </si>
  <si>
    <t>0h 10m 0s</t>
  </si>
  <si>
    <t>Скачать приложение shopping-list</t>
  </si>
  <si>
    <t>Приложение успешно скачено</t>
  </si>
  <si>
    <t>Открыть приложение shopping-list</t>
  </si>
  <si>
    <t>Приложение запущено без ошибок</t>
  </si>
  <si>
    <t>Тапнуть на поле ввода “Введите задачу”</t>
  </si>
  <si>
    <t>Успешно открылось поле ввода</t>
  </si>
  <si>
    <t>Ввести буквы кириллицей</t>
  </si>
  <si>
    <t>Текст отображается в поле ввода</t>
  </si>
  <si>
    <t>Тапнуть на “Добавить задачу”</t>
  </si>
  <si>
    <t>Задача успешно добавлена</t>
  </si>
  <si>
    <t>103</t>
  </si>
  <si>
    <t>9/19/2026 14:47:43</t>
  </si>
  <si>
    <t>Приложение shopping-list установлено на смартфон</t>
  </si>
  <si>
    <t>Приложение запускается без ошибок</t>
  </si>
  <si>
    <t>Тапнуть на поле ввода “ Введите задачу”</t>
  </si>
  <si>
    <t>Открывается поле ввода</t>
  </si>
  <si>
    <t>Ввести значение с цифрами</t>
  </si>
  <si>
    <t>Текст  отображается в поле</t>
  </si>
  <si>
    <t>Тапнуть на поле “Добавить задачу”</t>
  </si>
  <si>
    <t>Появляется сообщение об ошибке “Задача должна быть на русском языке”</t>
  </si>
  <si>
    <t>104</t>
  </si>
  <si>
    <t>9/19/2026 14:52:04</t>
  </si>
  <si>
    <t>Оставить поле ввода пустым</t>
  </si>
  <si>
    <t>Текст не отображается в поле</t>
  </si>
  <si>
    <t>Появляется сообщение об ошибке “Задача не может быть пустой”</t>
  </si>
  <si>
    <t>105</t>
  </si>
  <si>
    <t>9/19/2026 14:55:24</t>
  </si>
  <si>
    <t>Приложение shopping-list скачено на смартфон</t>
  </si>
  <si>
    <t>Ввести значение с 25 символами</t>
  </si>
  <si>
    <t>106</t>
  </si>
  <si>
    <t>9/19/2026 14:56:39</t>
  </si>
  <si>
    <t>Ввести значение с 26 символами</t>
  </si>
  <si>
    <t>Появляется сообщение об ошибке “Задача не должна превышать 25 символов”</t>
  </si>
  <si>
    <t>107</t>
  </si>
  <si>
    <t>9/19/2026 15:01:26</t>
  </si>
  <si>
    <t>Отсутствуют действующие задачи</t>
  </si>
  <si>
    <t>Ввести валидное значение</t>
  </si>
  <si>
    <t>Так же добавить ещё 10 задач</t>
  </si>
  <si>
    <t>Появляется сообщение об ошибке “Нельзя создать больше 10 задач”</t>
  </si>
  <si>
    <t>108</t>
  </si>
  <si>
    <t>9/19/2026 15:06:14</t>
  </si>
  <si>
    <t>Открыть приложение hopping-list</t>
  </si>
  <si>
    <t>Приложение открывается без ошибок</t>
  </si>
  <si>
    <t>Поле ввода открывается</t>
  </si>
  <si>
    <t>Ввести валидные значения</t>
  </si>
  <si>
    <t>Проверить что задача существует в списке</t>
  </si>
  <si>
    <t>Задача отображается в списке</t>
  </si>
  <si>
    <t>Тапнуть на кнопку “DELETE” рядом с  задачей</t>
  </si>
  <si>
    <t>Задача успешно удалена</t>
  </si>
  <si>
    <t>109</t>
  </si>
  <si>
    <t>9/19/2026 15:07:22</t>
  </si>
  <si>
    <t>Ввести символы с пробелом</t>
  </si>
  <si>
    <t>110</t>
  </si>
  <si>
    <t>9/19/2026 15:09:37</t>
  </si>
  <si>
    <t>Ввести значение с латинскими буквами</t>
  </si>
  <si>
    <t>111</t>
  </si>
  <si>
    <t>9/19/2026 15:10:58</t>
  </si>
  <si>
    <t>Ввести значение со специальными символами</t>
  </si>
  <si>
    <t>112</t>
  </si>
  <si>
    <t>9/19/2026 15:14:56</t>
  </si>
  <si>
    <t>Найти задачу в списке задач</t>
  </si>
  <si>
    <t>Сделать долгое нажатие на название задачи</t>
  </si>
  <si>
    <t>Успешно открывается окно редактирования задачи</t>
  </si>
  <si>
    <t>Изменить текст</t>
  </si>
  <si>
    <t>В окне редактирования текст изменен</t>
  </si>
  <si>
    <t>Тапнуть  на кнопку “сохранить”</t>
  </si>
  <si>
    <t>Название задачи успешно обновилось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</si>
</sst>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75" totalsRowShown="0">
  <autoFilter ref="A1:Q75" xr:uid="{00000000-0009-0000-0100-000001000000}"/>
  <tableColumns count="17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4" xr3:uid="{00000000-0010-0000-0000-000004000000}" name="Автоматизирован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9" xr3:uid="{00000000-0010-0000-0000-000009000000}" name="Тестовые данные"/>
    <tableColumn id="10" xr3:uid="{00000000-0010-0000-0000-00000A000000}" name="Комментарии"/>
    <tableColumn id="11" xr3:uid="{00000000-0010-0000-0000-00000B000000}" name="Итерации"/>
    <tableColumn id="12" xr3:uid="{00000000-0010-0000-0000-00000C000000}" name="Приоритет"/>
    <tableColumn id="13" xr3:uid="{00000000-0010-0000-0000-00000D000000}" name="Статус"/>
    <tableColumn id="14" xr3:uid="{00000000-0010-0000-0000-00000E000000}" name="Дата создания"/>
    <tableColumn id="15" xr3:uid="{00000000-0010-0000-0000-00000F000000}" name="Автор"/>
    <tableColumn id="16" xr3:uid="{00000000-0010-0000-0000-000010000000}" name="Длительность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workbookViewId="0">
      <selection activeCell="J4" sqref="J4"/>
    </sheetView>
  </sheetViews>
  <sheetFormatPr defaultRowHeight="15" x14ac:dyDescent="0.25"/>
  <cols>
    <col min="1" max="1" width="10.7109375" style="1" customWidth="1"/>
    <col min="2" max="2" width="17" style="2" customWidth="1"/>
    <col min="3" max="3" width="50.7109375" style="2" customWidth="1"/>
    <col min="4" max="4" width="20.140625" style="1" customWidth="1"/>
    <col min="5" max="5" width="50.5703125" style="1" customWidth="1"/>
    <col min="6" max="6" width="44.85546875" style="1" customWidth="1"/>
    <col min="7" max="7" width="15.140625" style="1" customWidth="1"/>
    <col min="8" max="8" width="50.7109375" style="1" customWidth="1"/>
    <col min="9" max="9" width="19.7109375" style="1" customWidth="1"/>
    <col min="10" max="10" width="16.42578125" style="1" customWidth="1"/>
    <col min="11" max="11" width="12.28515625" style="1" customWidth="1"/>
    <col min="12" max="12" width="13.28515625" style="1" customWidth="1"/>
    <col min="13" max="13" width="10.7109375" style="1" customWidth="1"/>
    <col min="14" max="14" width="18.140625" style="1" customWidth="1"/>
    <col min="15" max="15" width="10.7109375" style="1" customWidth="1"/>
    <col min="16" max="16" width="16.140625" style="1" customWidth="1"/>
    <col min="17" max="17" width="10.7109375" style="1" customWidth="1"/>
    <col min="18" max="18" width="9.140625" style="1" customWidth="1"/>
    <col min="19" max="16384" width="9.140625" style="1"/>
  </cols>
  <sheetData>
    <row r="1" spans="1:1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2" t="s">
        <v>18</v>
      </c>
      <c r="C2" s="2" t="str">
        <f>HYPERLINK("https://team-rauj.testit.software/projects/1/tests/101", "Добавление задачи с кириллицей")</f>
        <v>Добавление задачи с кириллицей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spans="1:17" x14ac:dyDescent="0.25">
      <c r="A3" s="1" t="s">
        <v>20</v>
      </c>
      <c r="B3" s="2" t="s">
        <v>20</v>
      </c>
      <c r="C3" s="2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 x14ac:dyDescent="0.25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26</v>
      </c>
      <c r="G4" s="1" t="s">
        <v>20</v>
      </c>
      <c r="H4" s="1" t="s">
        <v>27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 x14ac:dyDescent="0.25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28</v>
      </c>
      <c r="G5" s="1" t="s">
        <v>20</v>
      </c>
      <c r="H5" s="1" t="s">
        <v>29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 x14ac:dyDescent="0.25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30</v>
      </c>
      <c r="G6" s="1" t="s">
        <v>20</v>
      </c>
      <c r="H6" s="1" t="s">
        <v>31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 x14ac:dyDescent="0.25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32</v>
      </c>
      <c r="G7" s="1" t="s">
        <v>20</v>
      </c>
      <c r="H7" s="1" t="s">
        <v>33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 x14ac:dyDescent="0.25">
      <c r="A8" s="1" t="s">
        <v>20</v>
      </c>
      <c r="B8" s="2" t="s">
        <v>20</v>
      </c>
      <c r="C8" s="2" t="s">
        <v>20</v>
      </c>
      <c r="D8" s="1" t="s">
        <v>20</v>
      </c>
      <c r="E8" s="1" t="s">
        <v>20</v>
      </c>
      <c r="F8" s="1" t="s">
        <v>34</v>
      </c>
      <c r="G8" s="1" t="s">
        <v>20</v>
      </c>
      <c r="H8" s="1" t="s">
        <v>35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</row>
    <row r="9" spans="1:17" x14ac:dyDescent="0.25">
      <c r="A9" s="1" t="s">
        <v>36</v>
      </c>
      <c r="B9" s="2" t="s">
        <v>18</v>
      </c>
      <c r="C9" s="2" t="str">
        <f>HYPERLINK("https://team-rauj.testit.software/projects/1/tests/103", "Добавление задачи с цифрами")</f>
        <v>Добавление задачи с цифрами</v>
      </c>
      <c r="D9" s="1" t="s">
        <v>19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21</v>
      </c>
      <c r="M9" s="1" t="s">
        <v>22</v>
      </c>
      <c r="N9" s="1" t="s">
        <v>37</v>
      </c>
      <c r="O9" s="1" t="s">
        <v>24</v>
      </c>
      <c r="P9" s="1" t="s">
        <v>25</v>
      </c>
      <c r="Q9" s="1" t="s">
        <v>20</v>
      </c>
    </row>
    <row r="10" spans="1:17" x14ac:dyDescent="0.25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38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 x14ac:dyDescent="0.25">
      <c r="A11" s="1" t="s">
        <v>20</v>
      </c>
      <c r="B11" s="2" t="s">
        <v>20</v>
      </c>
      <c r="C11" s="2" t="s">
        <v>20</v>
      </c>
      <c r="D11" s="1" t="s">
        <v>20</v>
      </c>
      <c r="E11" s="1" t="s">
        <v>20</v>
      </c>
      <c r="F11" s="1" t="s">
        <v>28</v>
      </c>
      <c r="G11" s="1" t="s">
        <v>20</v>
      </c>
      <c r="H11" s="1" t="s">
        <v>39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 x14ac:dyDescent="0.25">
      <c r="A12" s="1" t="s">
        <v>20</v>
      </c>
      <c r="B12" s="2" t="s">
        <v>20</v>
      </c>
      <c r="C12" s="2" t="s">
        <v>20</v>
      </c>
      <c r="D12" s="1" t="s">
        <v>20</v>
      </c>
      <c r="E12" s="1" t="s">
        <v>20</v>
      </c>
      <c r="F12" s="1" t="s">
        <v>40</v>
      </c>
      <c r="G12" s="1" t="s">
        <v>20</v>
      </c>
      <c r="H12" s="1" t="s">
        <v>41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  <row r="13" spans="1:17" x14ac:dyDescent="0.25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20</v>
      </c>
      <c r="F13" s="1" t="s">
        <v>42</v>
      </c>
      <c r="G13" s="1" t="s">
        <v>20</v>
      </c>
      <c r="H13" s="1" t="s">
        <v>43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 x14ac:dyDescent="0.25">
      <c r="A14" s="1" t="s">
        <v>20</v>
      </c>
      <c r="B14" s="2" t="s">
        <v>20</v>
      </c>
      <c r="C14" s="2" t="s">
        <v>20</v>
      </c>
      <c r="D14" s="1" t="s">
        <v>20</v>
      </c>
      <c r="E14" s="1" t="s">
        <v>20</v>
      </c>
      <c r="F14" s="1" t="s">
        <v>44</v>
      </c>
      <c r="G14" s="1" t="s">
        <v>20</v>
      </c>
      <c r="H14" s="1" t="s">
        <v>45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</row>
    <row r="15" spans="1:17" x14ac:dyDescent="0.25">
      <c r="A15" s="1" t="s">
        <v>46</v>
      </c>
      <c r="B15" s="2" t="s">
        <v>18</v>
      </c>
      <c r="C15" s="2" t="str">
        <f>HYPERLINK("https://team-rauj.testit.software/projects/1/tests/104", " Добавление пустой задачи ")</f>
        <v xml:space="preserve"> Добавление пустой задачи </v>
      </c>
      <c r="D15" s="1" t="s">
        <v>19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21</v>
      </c>
      <c r="M15" s="1" t="s">
        <v>22</v>
      </c>
      <c r="N15" s="1" t="s">
        <v>47</v>
      </c>
      <c r="O15" s="1" t="s">
        <v>24</v>
      </c>
      <c r="P15" s="1" t="s">
        <v>25</v>
      </c>
      <c r="Q15" s="1" t="s">
        <v>20</v>
      </c>
    </row>
    <row r="16" spans="1:17" x14ac:dyDescent="0.25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38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 x14ac:dyDescent="0.25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28</v>
      </c>
      <c r="G17" s="1" t="s">
        <v>20</v>
      </c>
      <c r="H17" s="1" t="s">
        <v>39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</row>
    <row r="18" spans="1:17" x14ac:dyDescent="0.25">
      <c r="A18" s="1" t="s">
        <v>20</v>
      </c>
      <c r="B18" s="2" t="s">
        <v>20</v>
      </c>
      <c r="C18" s="2" t="s">
        <v>20</v>
      </c>
      <c r="D18" s="1" t="s">
        <v>20</v>
      </c>
      <c r="E18" s="1" t="s">
        <v>20</v>
      </c>
      <c r="F18" s="1" t="s">
        <v>48</v>
      </c>
      <c r="G18" s="1" t="s">
        <v>20</v>
      </c>
      <c r="H18" s="1" t="s">
        <v>49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</row>
    <row r="19" spans="1:17" x14ac:dyDescent="0.25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20</v>
      </c>
      <c r="F19" s="1" t="s">
        <v>44</v>
      </c>
      <c r="G19" s="1" t="s">
        <v>20</v>
      </c>
      <c r="H19" s="1" t="s">
        <v>50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 x14ac:dyDescent="0.25">
      <c r="A20" s="1" t="s">
        <v>51</v>
      </c>
      <c r="B20" s="2" t="s">
        <v>18</v>
      </c>
      <c r="C20" s="2" t="str">
        <f>HYPERLINK("https://team-rauj.testit.software/projects/1/tests/105", "Добавление задачи с 25 символами")</f>
        <v>Добавление задачи с 25 символами</v>
      </c>
      <c r="D20" s="1" t="s">
        <v>19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21</v>
      </c>
      <c r="M20" s="1" t="s">
        <v>22</v>
      </c>
      <c r="N20" s="1" t="s">
        <v>52</v>
      </c>
      <c r="O20" s="1" t="s">
        <v>24</v>
      </c>
      <c r="P20" s="1" t="s">
        <v>25</v>
      </c>
      <c r="Q20" s="1" t="s">
        <v>20</v>
      </c>
    </row>
    <row r="21" spans="1:17" x14ac:dyDescent="0.25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53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 x14ac:dyDescent="0.25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20</v>
      </c>
      <c r="F22" s="1" t="s">
        <v>28</v>
      </c>
      <c r="G22" s="1" t="s">
        <v>20</v>
      </c>
      <c r="H22" s="1" t="s">
        <v>29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  <row r="23" spans="1:17" x14ac:dyDescent="0.25">
      <c r="A23" s="1" t="s">
        <v>20</v>
      </c>
      <c r="B23" s="2" t="s">
        <v>20</v>
      </c>
      <c r="C23" s="2" t="s">
        <v>20</v>
      </c>
      <c r="D23" s="1" t="s">
        <v>20</v>
      </c>
      <c r="E23" s="1" t="s">
        <v>20</v>
      </c>
      <c r="F23" s="1" t="s">
        <v>30</v>
      </c>
      <c r="G23" s="1" t="s">
        <v>20</v>
      </c>
      <c r="H23" s="1" t="s">
        <v>31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</row>
    <row r="24" spans="1:17" x14ac:dyDescent="0.25">
      <c r="A24" s="1" t="s">
        <v>20</v>
      </c>
      <c r="B24" s="2" t="s">
        <v>20</v>
      </c>
      <c r="C24" s="2" t="s">
        <v>20</v>
      </c>
      <c r="D24" s="1" t="s">
        <v>20</v>
      </c>
      <c r="E24" s="1" t="s">
        <v>20</v>
      </c>
      <c r="F24" s="1" t="s">
        <v>54</v>
      </c>
      <c r="G24" s="1" t="s">
        <v>20</v>
      </c>
      <c r="H24" s="1" t="s">
        <v>33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</row>
    <row r="25" spans="1:17" x14ac:dyDescent="0.25">
      <c r="A25" s="1" t="s">
        <v>20</v>
      </c>
      <c r="B25" s="2" t="s">
        <v>20</v>
      </c>
      <c r="C25" s="2" t="s">
        <v>20</v>
      </c>
      <c r="D25" s="1" t="s">
        <v>20</v>
      </c>
      <c r="E25" s="1" t="s">
        <v>20</v>
      </c>
      <c r="F25" s="1" t="s">
        <v>34</v>
      </c>
      <c r="G25" s="1" t="s">
        <v>20</v>
      </c>
      <c r="H25" s="1" t="s">
        <v>35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</row>
    <row r="26" spans="1:17" x14ac:dyDescent="0.25">
      <c r="A26" s="1" t="s">
        <v>55</v>
      </c>
      <c r="B26" s="2" t="s">
        <v>18</v>
      </c>
      <c r="C26" s="2" t="str">
        <f>HYPERLINK("https://team-rauj.testit.software/projects/1/tests/106", " Добавление задачи с 26 символами")</f>
        <v xml:space="preserve"> Добавление задачи с 26 символами</v>
      </c>
      <c r="D26" s="1" t="s">
        <v>19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21</v>
      </c>
      <c r="M26" s="1" t="s">
        <v>22</v>
      </c>
      <c r="N26" s="1" t="s">
        <v>56</v>
      </c>
      <c r="O26" s="1" t="s">
        <v>24</v>
      </c>
      <c r="P26" s="1" t="s">
        <v>25</v>
      </c>
      <c r="Q26" s="1" t="s">
        <v>20</v>
      </c>
    </row>
    <row r="27" spans="1:17" x14ac:dyDescent="0.25">
      <c r="A27" s="1" t="s">
        <v>20</v>
      </c>
      <c r="B27" s="2" t="s">
        <v>20</v>
      </c>
      <c r="C27" s="2" t="s">
        <v>20</v>
      </c>
      <c r="D27" s="1" t="s">
        <v>20</v>
      </c>
      <c r="E27" s="1" t="s">
        <v>53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</row>
    <row r="28" spans="1:17" x14ac:dyDescent="0.25">
      <c r="A28" s="1" t="s">
        <v>20</v>
      </c>
      <c r="B28" s="2" t="s">
        <v>20</v>
      </c>
      <c r="C28" s="2" t="s">
        <v>20</v>
      </c>
      <c r="D28" s="1" t="s">
        <v>20</v>
      </c>
      <c r="E28" s="1" t="s">
        <v>20</v>
      </c>
      <c r="F28" s="1" t="s">
        <v>28</v>
      </c>
      <c r="G28" s="1" t="s">
        <v>20</v>
      </c>
      <c r="H28" s="1" t="s">
        <v>29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</row>
    <row r="29" spans="1:17" x14ac:dyDescent="0.25">
      <c r="A29" s="1" t="s">
        <v>20</v>
      </c>
      <c r="B29" s="2" t="s">
        <v>20</v>
      </c>
      <c r="C29" s="2" t="s">
        <v>20</v>
      </c>
      <c r="D29" s="1" t="s">
        <v>20</v>
      </c>
      <c r="E29" s="1" t="s">
        <v>20</v>
      </c>
      <c r="F29" s="1" t="s">
        <v>30</v>
      </c>
      <c r="G29" s="1" t="s">
        <v>20</v>
      </c>
      <c r="H29" s="1" t="s">
        <v>31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</row>
    <row r="30" spans="1:17" x14ac:dyDescent="0.25">
      <c r="A30" s="1" t="s">
        <v>20</v>
      </c>
      <c r="B30" s="2" t="s">
        <v>20</v>
      </c>
      <c r="C30" s="2" t="s">
        <v>20</v>
      </c>
      <c r="D30" s="1" t="s">
        <v>20</v>
      </c>
      <c r="E30" s="1" t="s">
        <v>20</v>
      </c>
      <c r="F30" s="1" t="s">
        <v>57</v>
      </c>
      <c r="G30" s="1" t="s">
        <v>20</v>
      </c>
      <c r="H30" s="1" t="s">
        <v>33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</row>
    <row r="31" spans="1:17" x14ac:dyDescent="0.25">
      <c r="A31" s="1" t="s">
        <v>20</v>
      </c>
      <c r="B31" s="2" t="s">
        <v>20</v>
      </c>
      <c r="C31" s="2" t="s">
        <v>20</v>
      </c>
      <c r="D31" s="1" t="s">
        <v>20</v>
      </c>
      <c r="E31" s="1" t="s">
        <v>20</v>
      </c>
      <c r="F31" s="1" t="s">
        <v>34</v>
      </c>
      <c r="G31" s="1" t="s">
        <v>20</v>
      </c>
      <c r="H31" s="1" t="s">
        <v>58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</row>
    <row r="32" spans="1:17" x14ac:dyDescent="0.25">
      <c r="A32" s="1" t="s">
        <v>59</v>
      </c>
      <c r="B32" s="2" t="s">
        <v>18</v>
      </c>
      <c r="C32" s="2" t="str">
        <f>HYPERLINK("https://team-rauj.testit.software/projects/1/tests/107", " Добавление 11 задачи ")</f>
        <v xml:space="preserve"> Добавление 11 задачи </v>
      </c>
      <c r="D32" s="1" t="s">
        <v>19</v>
      </c>
      <c r="E32" s="1" t="s">
        <v>20</v>
      </c>
      <c r="F32" s="1" t="s">
        <v>20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20</v>
      </c>
      <c r="L32" s="1" t="s">
        <v>21</v>
      </c>
      <c r="M32" s="1" t="s">
        <v>22</v>
      </c>
      <c r="N32" s="1" t="s">
        <v>60</v>
      </c>
      <c r="O32" s="1" t="s">
        <v>24</v>
      </c>
      <c r="P32" s="1" t="s">
        <v>25</v>
      </c>
      <c r="Q32" s="1" t="s">
        <v>20</v>
      </c>
    </row>
    <row r="33" spans="1:17" x14ac:dyDescent="0.25">
      <c r="A33" s="1" t="s">
        <v>20</v>
      </c>
      <c r="B33" s="2" t="s">
        <v>20</v>
      </c>
      <c r="C33" s="2" t="s">
        <v>20</v>
      </c>
      <c r="D33" s="1" t="s">
        <v>20</v>
      </c>
      <c r="E33" s="1" t="s">
        <v>53</v>
      </c>
      <c r="F33" s="1" t="s">
        <v>20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</row>
    <row r="34" spans="1:17" x14ac:dyDescent="0.25">
      <c r="A34" s="1" t="s">
        <v>20</v>
      </c>
      <c r="B34" s="2" t="s">
        <v>20</v>
      </c>
      <c r="C34" s="2" t="s">
        <v>20</v>
      </c>
      <c r="D34" s="1" t="s">
        <v>20</v>
      </c>
      <c r="E34" s="1" t="s">
        <v>61</v>
      </c>
      <c r="F34" s="1" t="s">
        <v>20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</row>
    <row r="35" spans="1:17" x14ac:dyDescent="0.25">
      <c r="A35" s="1" t="s">
        <v>20</v>
      </c>
      <c r="B35" s="2" t="s">
        <v>20</v>
      </c>
      <c r="C35" s="2" t="s">
        <v>20</v>
      </c>
      <c r="D35" s="1" t="s">
        <v>20</v>
      </c>
      <c r="E35" s="1" t="s">
        <v>20</v>
      </c>
      <c r="F35" s="1" t="s">
        <v>28</v>
      </c>
      <c r="G35" s="1" t="s">
        <v>20</v>
      </c>
      <c r="H35" s="1" t="s">
        <v>29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20</v>
      </c>
    </row>
    <row r="36" spans="1:17" x14ac:dyDescent="0.25">
      <c r="A36" s="1" t="s">
        <v>20</v>
      </c>
      <c r="B36" s="2" t="s">
        <v>20</v>
      </c>
      <c r="C36" s="2" t="s">
        <v>20</v>
      </c>
      <c r="D36" s="1" t="s">
        <v>20</v>
      </c>
      <c r="E36" s="1" t="s">
        <v>20</v>
      </c>
      <c r="F36" s="1" t="s">
        <v>30</v>
      </c>
      <c r="G36" s="1" t="s">
        <v>20</v>
      </c>
      <c r="H36" s="1" t="s">
        <v>31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</row>
    <row r="37" spans="1:17" x14ac:dyDescent="0.25">
      <c r="A37" s="1" t="s">
        <v>20</v>
      </c>
      <c r="B37" s="2" t="s">
        <v>20</v>
      </c>
      <c r="C37" s="2" t="s">
        <v>20</v>
      </c>
      <c r="D37" s="1" t="s">
        <v>20</v>
      </c>
      <c r="E37" s="1" t="s">
        <v>20</v>
      </c>
      <c r="F37" s="1" t="s">
        <v>62</v>
      </c>
      <c r="G37" s="1" t="s">
        <v>20</v>
      </c>
      <c r="H37" s="1" t="s">
        <v>33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</row>
    <row r="38" spans="1:17" x14ac:dyDescent="0.25">
      <c r="A38" s="1" t="s">
        <v>20</v>
      </c>
      <c r="B38" s="2" t="s">
        <v>20</v>
      </c>
      <c r="C38" s="2" t="s">
        <v>20</v>
      </c>
      <c r="D38" s="1" t="s">
        <v>20</v>
      </c>
      <c r="E38" s="1" t="s">
        <v>20</v>
      </c>
      <c r="F38" s="1" t="s">
        <v>34</v>
      </c>
      <c r="G38" s="1" t="s">
        <v>20</v>
      </c>
      <c r="H38" s="1" t="s">
        <v>35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</row>
    <row r="39" spans="1:17" x14ac:dyDescent="0.25">
      <c r="A39" s="1" t="s">
        <v>20</v>
      </c>
      <c r="B39" s="2" t="s">
        <v>20</v>
      </c>
      <c r="C39" s="2" t="s">
        <v>20</v>
      </c>
      <c r="D39" s="1" t="s">
        <v>20</v>
      </c>
      <c r="E39" s="1" t="s">
        <v>20</v>
      </c>
      <c r="F39" s="1" t="s">
        <v>63</v>
      </c>
      <c r="G39" s="1" t="s">
        <v>20</v>
      </c>
      <c r="H39" s="1" t="s">
        <v>64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</row>
    <row r="40" spans="1:17" x14ac:dyDescent="0.25">
      <c r="A40" s="1" t="s">
        <v>65</v>
      </c>
      <c r="B40" s="2" t="s">
        <v>18</v>
      </c>
      <c r="C40" s="2" t="str">
        <f>HYPERLINK("https://team-rauj.testit.software/projects/1/tests/108", "Удаление задачи")</f>
        <v>Удаление задачи</v>
      </c>
      <c r="D40" s="1" t="s">
        <v>19</v>
      </c>
      <c r="E40" s="1" t="s">
        <v>20</v>
      </c>
      <c r="F40" s="1" t="s">
        <v>20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21</v>
      </c>
      <c r="M40" s="1" t="s">
        <v>22</v>
      </c>
      <c r="N40" s="1" t="s">
        <v>66</v>
      </c>
      <c r="O40" s="1" t="s">
        <v>24</v>
      </c>
      <c r="P40" s="1" t="s">
        <v>25</v>
      </c>
      <c r="Q40" s="1" t="s">
        <v>20</v>
      </c>
    </row>
    <row r="41" spans="1:17" x14ac:dyDescent="0.25">
      <c r="A41" s="1" t="s">
        <v>20</v>
      </c>
      <c r="B41" s="2" t="s">
        <v>20</v>
      </c>
      <c r="C41" s="2" t="s">
        <v>20</v>
      </c>
      <c r="D41" s="1" t="s">
        <v>20</v>
      </c>
      <c r="E41" s="1" t="s">
        <v>38</v>
      </c>
      <c r="F41" s="1" t="s">
        <v>20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</row>
    <row r="42" spans="1:17" x14ac:dyDescent="0.25">
      <c r="A42" s="1" t="s">
        <v>20</v>
      </c>
      <c r="B42" s="2" t="s">
        <v>20</v>
      </c>
      <c r="C42" s="2" t="s">
        <v>20</v>
      </c>
      <c r="D42" s="1" t="s">
        <v>20</v>
      </c>
      <c r="E42" s="1" t="s">
        <v>20</v>
      </c>
      <c r="F42" s="1" t="s">
        <v>67</v>
      </c>
      <c r="G42" s="1" t="s">
        <v>20</v>
      </c>
      <c r="H42" s="1" t="s">
        <v>68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</row>
    <row r="43" spans="1:17" x14ac:dyDescent="0.25">
      <c r="A43" s="1" t="s">
        <v>20</v>
      </c>
      <c r="B43" s="2" t="s">
        <v>20</v>
      </c>
      <c r="C43" s="2" t="s">
        <v>20</v>
      </c>
      <c r="D43" s="1" t="s">
        <v>20</v>
      </c>
      <c r="E43" s="1" t="s">
        <v>20</v>
      </c>
      <c r="F43" s="1" t="s">
        <v>30</v>
      </c>
      <c r="G43" s="1" t="s">
        <v>20</v>
      </c>
      <c r="H43" s="1" t="s">
        <v>69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</row>
    <row r="44" spans="1:17" x14ac:dyDescent="0.25">
      <c r="A44" s="1" t="s">
        <v>20</v>
      </c>
      <c r="B44" s="2" t="s">
        <v>20</v>
      </c>
      <c r="C44" s="2" t="s">
        <v>20</v>
      </c>
      <c r="D44" s="1" t="s">
        <v>20</v>
      </c>
      <c r="E44" s="1" t="s">
        <v>20</v>
      </c>
      <c r="F44" s="1" t="s">
        <v>70</v>
      </c>
      <c r="G44" s="1" t="s">
        <v>20</v>
      </c>
      <c r="H44" s="1" t="s">
        <v>33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20</v>
      </c>
      <c r="Q44" s="1" t="s">
        <v>20</v>
      </c>
    </row>
    <row r="45" spans="1:17" x14ac:dyDescent="0.25">
      <c r="A45" s="1" t="s">
        <v>20</v>
      </c>
      <c r="B45" s="2" t="s">
        <v>20</v>
      </c>
      <c r="C45" s="2" t="s">
        <v>20</v>
      </c>
      <c r="D45" s="1" t="s">
        <v>20</v>
      </c>
      <c r="E45" s="1" t="s">
        <v>20</v>
      </c>
      <c r="F45" s="1" t="s">
        <v>44</v>
      </c>
      <c r="G45" s="1" t="s">
        <v>20</v>
      </c>
      <c r="H45" s="1" t="s">
        <v>35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</row>
    <row r="46" spans="1:17" x14ac:dyDescent="0.25">
      <c r="A46" s="1" t="s">
        <v>20</v>
      </c>
      <c r="B46" s="2" t="s">
        <v>20</v>
      </c>
      <c r="C46" s="2" t="s">
        <v>20</v>
      </c>
      <c r="D46" s="1" t="s">
        <v>20</v>
      </c>
      <c r="E46" s="1" t="s">
        <v>20</v>
      </c>
      <c r="F46" s="1" t="s">
        <v>71</v>
      </c>
      <c r="G46" s="1" t="s">
        <v>20</v>
      </c>
      <c r="H46" s="1" t="s">
        <v>72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</row>
    <row r="47" spans="1:17" x14ac:dyDescent="0.25">
      <c r="A47" s="1" t="s">
        <v>20</v>
      </c>
      <c r="B47" s="2" t="s">
        <v>20</v>
      </c>
      <c r="C47" s="2" t="s">
        <v>20</v>
      </c>
      <c r="D47" s="1" t="s">
        <v>20</v>
      </c>
      <c r="E47" s="1" t="s">
        <v>20</v>
      </c>
      <c r="F47" s="1" t="s">
        <v>73</v>
      </c>
      <c r="G47" s="1" t="s">
        <v>20</v>
      </c>
      <c r="H47" s="1" t="s">
        <v>74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</row>
    <row r="48" spans="1:17" x14ac:dyDescent="0.25">
      <c r="A48" s="1" t="s">
        <v>75</v>
      </c>
      <c r="B48" s="2" t="s">
        <v>18</v>
      </c>
      <c r="C48" s="2" t="str">
        <f>HYPERLINK("https://team-rauj.testit.software/projects/1/tests/109", " Добавление задачи с пробелами")</f>
        <v xml:space="preserve"> Добавление задачи с пробелами</v>
      </c>
      <c r="D48" s="1" t="s">
        <v>19</v>
      </c>
      <c r="E48" s="1" t="s">
        <v>20</v>
      </c>
      <c r="F48" s="1" t="s">
        <v>20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 s="1" t="s">
        <v>21</v>
      </c>
      <c r="M48" s="1" t="s">
        <v>22</v>
      </c>
      <c r="N48" s="1" t="s">
        <v>76</v>
      </c>
      <c r="O48" s="1" t="s">
        <v>24</v>
      </c>
      <c r="P48" s="1" t="s">
        <v>25</v>
      </c>
      <c r="Q48" s="1" t="s">
        <v>20</v>
      </c>
    </row>
    <row r="49" spans="1:17" x14ac:dyDescent="0.25">
      <c r="A49" s="1" t="s">
        <v>20</v>
      </c>
      <c r="B49" s="2" t="s">
        <v>20</v>
      </c>
      <c r="C49" s="2" t="s">
        <v>20</v>
      </c>
      <c r="D49" s="1" t="s">
        <v>20</v>
      </c>
      <c r="E49" s="1" t="s">
        <v>53</v>
      </c>
      <c r="F49" s="1" t="s">
        <v>20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</row>
    <row r="50" spans="1:17" x14ac:dyDescent="0.25">
      <c r="A50" s="1" t="s">
        <v>20</v>
      </c>
      <c r="B50" s="2" t="s">
        <v>20</v>
      </c>
      <c r="C50" s="2" t="s">
        <v>20</v>
      </c>
      <c r="D50" s="1" t="s">
        <v>20</v>
      </c>
      <c r="E50" s="1" t="s">
        <v>20</v>
      </c>
      <c r="F50" s="1" t="s">
        <v>28</v>
      </c>
      <c r="G50" s="1" t="s">
        <v>20</v>
      </c>
      <c r="H50" s="1" t="s">
        <v>29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</row>
    <row r="51" spans="1:17" x14ac:dyDescent="0.25">
      <c r="A51" s="1" t="s">
        <v>20</v>
      </c>
      <c r="B51" s="2" t="s">
        <v>20</v>
      </c>
      <c r="C51" s="2" t="s">
        <v>20</v>
      </c>
      <c r="D51" s="1" t="s">
        <v>20</v>
      </c>
      <c r="E51" s="1" t="s">
        <v>20</v>
      </c>
      <c r="F51" s="1" t="s">
        <v>30</v>
      </c>
      <c r="G51" s="1" t="s">
        <v>20</v>
      </c>
      <c r="H51" s="1" t="s">
        <v>31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</row>
    <row r="52" spans="1:17" x14ac:dyDescent="0.25">
      <c r="A52" s="1" t="s">
        <v>20</v>
      </c>
      <c r="B52" s="2" t="s">
        <v>20</v>
      </c>
      <c r="C52" s="2" t="s">
        <v>20</v>
      </c>
      <c r="D52" s="1" t="s">
        <v>20</v>
      </c>
      <c r="E52" s="1" t="s">
        <v>20</v>
      </c>
      <c r="F52" s="1" t="s">
        <v>77</v>
      </c>
      <c r="G52" s="1" t="s">
        <v>20</v>
      </c>
      <c r="H52" s="1" t="s">
        <v>33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</row>
    <row r="53" spans="1:17" x14ac:dyDescent="0.25">
      <c r="A53" s="1" t="s">
        <v>20</v>
      </c>
      <c r="B53" s="2" t="s">
        <v>20</v>
      </c>
      <c r="C53" s="2" t="s">
        <v>20</v>
      </c>
      <c r="D53" s="1" t="s">
        <v>20</v>
      </c>
      <c r="E53" s="1" t="s">
        <v>20</v>
      </c>
      <c r="F53" s="1" t="s">
        <v>34</v>
      </c>
      <c r="G53" s="1" t="s">
        <v>20</v>
      </c>
      <c r="H53" s="1" t="s">
        <v>35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</row>
    <row r="54" spans="1:17" x14ac:dyDescent="0.25">
      <c r="A54" s="1" t="s">
        <v>78</v>
      </c>
      <c r="B54" s="2" t="s">
        <v>18</v>
      </c>
      <c r="C54" s="2" t="str">
        <f>HYPERLINK("https://team-rauj.testit.software/projects/1/tests/110", " Добавление задачи с латиницей")</f>
        <v xml:space="preserve"> Добавление задачи с латиницей</v>
      </c>
      <c r="D54" s="1" t="s">
        <v>19</v>
      </c>
      <c r="E54" s="1" t="s">
        <v>20</v>
      </c>
      <c r="F54" s="1" t="s">
        <v>20</v>
      </c>
      <c r="G54" s="1" t="s">
        <v>20</v>
      </c>
      <c r="H54" s="1" t="s">
        <v>20</v>
      </c>
      <c r="I54" s="1" t="s">
        <v>20</v>
      </c>
      <c r="J54" s="1" t="s">
        <v>20</v>
      </c>
      <c r="K54" s="1" t="s">
        <v>20</v>
      </c>
      <c r="L54" s="1" t="s">
        <v>21</v>
      </c>
      <c r="M54" s="1" t="s">
        <v>22</v>
      </c>
      <c r="N54" s="1" t="s">
        <v>79</v>
      </c>
      <c r="O54" s="1" t="s">
        <v>24</v>
      </c>
      <c r="P54" s="1" t="s">
        <v>25</v>
      </c>
      <c r="Q54" s="1" t="s">
        <v>20</v>
      </c>
    </row>
    <row r="55" spans="1:17" x14ac:dyDescent="0.25">
      <c r="A55" s="1" t="s">
        <v>20</v>
      </c>
      <c r="B55" s="2" t="s">
        <v>20</v>
      </c>
      <c r="C55" s="2" t="s">
        <v>20</v>
      </c>
      <c r="D55" s="1" t="s">
        <v>20</v>
      </c>
      <c r="E55" s="1" t="s">
        <v>38</v>
      </c>
      <c r="F55" s="1" t="s">
        <v>20</v>
      </c>
      <c r="G55" s="1" t="s">
        <v>20</v>
      </c>
      <c r="H55" s="1" t="s">
        <v>20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</row>
    <row r="56" spans="1:17" x14ac:dyDescent="0.25">
      <c r="A56" s="1" t="s">
        <v>20</v>
      </c>
      <c r="B56" s="2" t="s">
        <v>20</v>
      </c>
      <c r="C56" s="2" t="s">
        <v>20</v>
      </c>
      <c r="D56" s="1" t="s">
        <v>20</v>
      </c>
      <c r="E56" s="1" t="s">
        <v>20</v>
      </c>
      <c r="F56" s="1" t="s">
        <v>28</v>
      </c>
      <c r="G56" s="1" t="s">
        <v>20</v>
      </c>
      <c r="H56" s="1" t="s">
        <v>39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20</v>
      </c>
      <c r="Q56" s="1" t="s">
        <v>20</v>
      </c>
    </row>
    <row r="57" spans="1:17" x14ac:dyDescent="0.25">
      <c r="A57" s="1" t="s">
        <v>20</v>
      </c>
      <c r="B57" s="2" t="s">
        <v>20</v>
      </c>
      <c r="C57" s="2" t="s">
        <v>20</v>
      </c>
      <c r="D57" s="1" t="s">
        <v>20</v>
      </c>
      <c r="E57" s="1" t="s">
        <v>20</v>
      </c>
      <c r="F57" s="1" t="s">
        <v>40</v>
      </c>
      <c r="G57" s="1" t="s">
        <v>20</v>
      </c>
      <c r="H57" s="1" t="s">
        <v>41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20</v>
      </c>
      <c r="Q57" s="1" t="s">
        <v>20</v>
      </c>
    </row>
    <row r="58" spans="1:17" x14ac:dyDescent="0.25">
      <c r="A58" s="1" t="s">
        <v>20</v>
      </c>
      <c r="B58" s="2" t="s">
        <v>20</v>
      </c>
      <c r="C58" s="2" t="s">
        <v>20</v>
      </c>
      <c r="D58" s="1" t="s">
        <v>20</v>
      </c>
      <c r="E58" s="1" t="s">
        <v>20</v>
      </c>
      <c r="F58" s="1" t="s">
        <v>80</v>
      </c>
      <c r="G58" s="1" t="s">
        <v>20</v>
      </c>
      <c r="H58" s="1" t="s">
        <v>43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20</v>
      </c>
    </row>
    <row r="59" spans="1:17" x14ac:dyDescent="0.25">
      <c r="A59" s="1" t="s">
        <v>20</v>
      </c>
      <c r="B59" s="2" t="s">
        <v>20</v>
      </c>
      <c r="C59" s="2" t="s">
        <v>20</v>
      </c>
      <c r="D59" s="1" t="s">
        <v>20</v>
      </c>
      <c r="E59" s="1" t="s">
        <v>20</v>
      </c>
      <c r="F59" s="1" t="s">
        <v>44</v>
      </c>
      <c r="G59" s="1" t="s">
        <v>20</v>
      </c>
      <c r="H59" s="1" t="s">
        <v>45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20</v>
      </c>
      <c r="Q59" s="1" t="s">
        <v>20</v>
      </c>
    </row>
    <row r="60" spans="1:17" x14ac:dyDescent="0.25">
      <c r="A60" s="1" t="s">
        <v>81</v>
      </c>
      <c r="B60" s="2" t="s">
        <v>18</v>
      </c>
      <c r="C60" s="2" t="str">
        <f>HYPERLINK("https://team-rauj.testit.software/projects/1/tests/111", " Добавление задачи со специальными символами")</f>
        <v xml:space="preserve"> Добавление задачи со специальными символами</v>
      </c>
      <c r="D60" s="1" t="s">
        <v>19</v>
      </c>
      <c r="E60" s="1" t="s">
        <v>20</v>
      </c>
      <c r="F60" s="1" t="s">
        <v>20</v>
      </c>
      <c r="G60" s="1" t="s">
        <v>20</v>
      </c>
      <c r="H60" s="1" t="s">
        <v>20</v>
      </c>
      <c r="I60" s="1" t="s">
        <v>20</v>
      </c>
      <c r="J60" s="1" t="s">
        <v>20</v>
      </c>
      <c r="K60" s="1" t="s">
        <v>20</v>
      </c>
      <c r="L60" s="1" t="s">
        <v>21</v>
      </c>
      <c r="M60" s="1" t="s">
        <v>22</v>
      </c>
      <c r="N60" s="1" t="s">
        <v>82</v>
      </c>
      <c r="O60" s="1" t="s">
        <v>24</v>
      </c>
      <c r="P60" s="1" t="s">
        <v>25</v>
      </c>
      <c r="Q60" s="1" t="s">
        <v>20</v>
      </c>
    </row>
    <row r="61" spans="1:17" x14ac:dyDescent="0.25">
      <c r="A61" s="1" t="s">
        <v>20</v>
      </c>
      <c r="B61" s="2" t="s">
        <v>20</v>
      </c>
      <c r="C61" s="2" t="s">
        <v>20</v>
      </c>
      <c r="D61" s="1" t="s">
        <v>20</v>
      </c>
      <c r="E61" s="1" t="s">
        <v>38</v>
      </c>
      <c r="F61" s="1" t="s">
        <v>20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20</v>
      </c>
    </row>
    <row r="62" spans="1:17" x14ac:dyDescent="0.25">
      <c r="A62" s="1" t="s">
        <v>20</v>
      </c>
      <c r="B62" s="2" t="s">
        <v>20</v>
      </c>
      <c r="C62" s="2" t="s">
        <v>20</v>
      </c>
      <c r="D62" s="1" t="s">
        <v>20</v>
      </c>
      <c r="E62" s="1" t="s">
        <v>20</v>
      </c>
      <c r="F62" s="1" t="s">
        <v>28</v>
      </c>
      <c r="G62" s="1" t="s">
        <v>20</v>
      </c>
      <c r="H62" s="1" t="s">
        <v>39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20</v>
      </c>
      <c r="Q62" s="1" t="s">
        <v>20</v>
      </c>
    </row>
    <row r="63" spans="1:17" x14ac:dyDescent="0.25">
      <c r="A63" s="1" t="s">
        <v>20</v>
      </c>
      <c r="B63" s="2" t="s">
        <v>20</v>
      </c>
      <c r="C63" s="2" t="s">
        <v>20</v>
      </c>
      <c r="D63" s="1" t="s">
        <v>20</v>
      </c>
      <c r="E63" s="1" t="s">
        <v>20</v>
      </c>
      <c r="F63" s="1" t="s">
        <v>40</v>
      </c>
      <c r="G63" s="1" t="s">
        <v>20</v>
      </c>
      <c r="H63" s="1" t="s">
        <v>41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20</v>
      </c>
      <c r="Q63" s="1" t="s">
        <v>20</v>
      </c>
    </row>
    <row r="64" spans="1:17" x14ac:dyDescent="0.25">
      <c r="A64" s="1" t="s">
        <v>20</v>
      </c>
      <c r="B64" s="2" t="s">
        <v>20</v>
      </c>
      <c r="C64" s="2" t="s">
        <v>20</v>
      </c>
      <c r="D64" s="1" t="s">
        <v>20</v>
      </c>
      <c r="E64" s="1" t="s">
        <v>20</v>
      </c>
      <c r="F64" s="1" t="s">
        <v>83</v>
      </c>
      <c r="G64" s="1" t="s">
        <v>20</v>
      </c>
      <c r="H64" s="1" t="s">
        <v>43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 t="s">
        <v>20</v>
      </c>
      <c r="Q64" s="1" t="s">
        <v>20</v>
      </c>
    </row>
    <row r="65" spans="1:17" x14ac:dyDescent="0.25">
      <c r="A65" s="1" t="s">
        <v>20</v>
      </c>
      <c r="B65" s="2" t="s">
        <v>20</v>
      </c>
      <c r="C65" s="2" t="s">
        <v>20</v>
      </c>
      <c r="D65" s="1" t="s">
        <v>20</v>
      </c>
      <c r="E65" s="1" t="s">
        <v>20</v>
      </c>
      <c r="F65" s="1" t="s">
        <v>44</v>
      </c>
      <c r="G65" s="1" t="s">
        <v>20</v>
      </c>
      <c r="H65" s="1" t="s">
        <v>45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 t="s">
        <v>20</v>
      </c>
      <c r="Q65" s="1" t="s">
        <v>20</v>
      </c>
    </row>
    <row r="66" spans="1:17" x14ac:dyDescent="0.25">
      <c r="A66" s="1" t="s">
        <v>84</v>
      </c>
      <c r="B66" s="2" t="s">
        <v>18</v>
      </c>
      <c r="C66" s="2" t="str">
        <f>HYPERLINK("https://team-rauj.testit.software/projects/1/tests/112", "Редактирование задачи долгим нажатием")</f>
        <v>Редактирование задачи долгим нажатием</v>
      </c>
      <c r="D66" s="1" t="s">
        <v>19</v>
      </c>
      <c r="E66" s="1" t="s">
        <v>20</v>
      </c>
      <c r="F66" s="1" t="s">
        <v>20</v>
      </c>
      <c r="G66" s="1" t="s">
        <v>20</v>
      </c>
      <c r="H66" s="1" t="s">
        <v>20</v>
      </c>
      <c r="I66" s="1" t="s">
        <v>20</v>
      </c>
      <c r="J66" s="1" t="s">
        <v>20</v>
      </c>
      <c r="K66" s="1" t="s">
        <v>20</v>
      </c>
      <c r="L66" s="1" t="s">
        <v>21</v>
      </c>
      <c r="M66" s="1" t="s">
        <v>22</v>
      </c>
      <c r="N66" s="1" t="s">
        <v>85</v>
      </c>
      <c r="O66" s="1" t="s">
        <v>24</v>
      </c>
      <c r="P66" s="1" t="s">
        <v>25</v>
      </c>
      <c r="Q66" s="1" t="s">
        <v>20</v>
      </c>
    </row>
    <row r="67" spans="1:17" x14ac:dyDescent="0.25">
      <c r="A67" s="1" t="s">
        <v>20</v>
      </c>
      <c r="B67" s="2" t="s">
        <v>20</v>
      </c>
      <c r="C67" s="2" t="s">
        <v>20</v>
      </c>
      <c r="D67" s="1" t="s">
        <v>20</v>
      </c>
      <c r="E67" s="1" t="s">
        <v>53</v>
      </c>
      <c r="F67" s="1" t="s">
        <v>20</v>
      </c>
      <c r="G67" s="1" t="s">
        <v>20</v>
      </c>
      <c r="H67" s="1" t="s">
        <v>20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 t="s">
        <v>20</v>
      </c>
      <c r="Q67" s="1" t="s">
        <v>20</v>
      </c>
    </row>
    <row r="68" spans="1:17" x14ac:dyDescent="0.25">
      <c r="A68" s="1" t="s">
        <v>20</v>
      </c>
      <c r="B68" s="2" t="s">
        <v>20</v>
      </c>
      <c r="C68" s="2" t="s">
        <v>20</v>
      </c>
      <c r="D68" s="1" t="s">
        <v>20</v>
      </c>
      <c r="E68" s="1" t="s">
        <v>20</v>
      </c>
      <c r="F68" s="1" t="s">
        <v>28</v>
      </c>
      <c r="G68" s="1" t="s">
        <v>20</v>
      </c>
      <c r="H68" s="1" t="s">
        <v>29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20</v>
      </c>
      <c r="Q68" s="1" t="s">
        <v>20</v>
      </c>
    </row>
    <row r="69" spans="1:17" x14ac:dyDescent="0.25">
      <c r="A69" s="1" t="s">
        <v>20</v>
      </c>
      <c r="B69" s="2" t="s">
        <v>20</v>
      </c>
      <c r="C69" s="2" t="s">
        <v>20</v>
      </c>
      <c r="D69" s="1" t="s">
        <v>20</v>
      </c>
      <c r="E69" s="1" t="s">
        <v>20</v>
      </c>
      <c r="F69" s="1" t="s">
        <v>30</v>
      </c>
      <c r="G69" s="1" t="s">
        <v>20</v>
      </c>
      <c r="H69" s="1" t="s">
        <v>31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 t="s">
        <v>20</v>
      </c>
      <c r="Q69" s="1" t="s">
        <v>20</v>
      </c>
    </row>
    <row r="70" spans="1:17" x14ac:dyDescent="0.25">
      <c r="A70" s="1" t="s">
        <v>20</v>
      </c>
      <c r="B70" s="2" t="s">
        <v>20</v>
      </c>
      <c r="C70" s="2" t="s">
        <v>20</v>
      </c>
      <c r="D70" s="1" t="s">
        <v>20</v>
      </c>
      <c r="E70" s="1" t="s">
        <v>20</v>
      </c>
      <c r="F70" s="1" t="s">
        <v>70</v>
      </c>
      <c r="G70" s="1" t="s">
        <v>20</v>
      </c>
      <c r="H70" s="1" t="s">
        <v>33</v>
      </c>
      <c r="I70" s="1" t="s">
        <v>20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  <c r="O70" s="1" t="s">
        <v>20</v>
      </c>
      <c r="P70" s="1" t="s">
        <v>20</v>
      </c>
      <c r="Q70" s="1" t="s">
        <v>20</v>
      </c>
    </row>
    <row r="71" spans="1:17" x14ac:dyDescent="0.25">
      <c r="A71" s="1" t="s">
        <v>20</v>
      </c>
      <c r="B71" s="2" t="s">
        <v>20</v>
      </c>
      <c r="C71" s="2" t="s">
        <v>20</v>
      </c>
      <c r="D71" s="1" t="s">
        <v>20</v>
      </c>
      <c r="E71" s="1" t="s">
        <v>20</v>
      </c>
      <c r="F71" s="1" t="s">
        <v>34</v>
      </c>
      <c r="G71" s="1" t="s">
        <v>20</v>
      </c>
      <c r="H71" s="1" t="s">
        <v>35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O71" s="1" t="s">
        <v>20</v>
      </c>
      <c r="P71" s="1" t="s">
        <v>20</v>
      </c>
      <c r="Q71" s="1" t="s">
        <v>20</v>
      </c>
    </row>
    <row r="72" spans="1:17" x14ac:dyDescent="0.25">
      <c r="A72" s="1" t="s">
        <v>20</v>
      </c>
      <c r="B72" s="2" t="s">
        <v>20</v>
      </c>
      <c r="C72" s="2" t="s">
        <v>20</v>
      </c>
      <c r="D72" s="1" t="s">
        <v>20</v>
      </c>
      <c r="E72" s="1" t="s">
        <v>20</v>
      </c>
      <c r="F72" s="1" t="s">
        <v>86</v>
      </c>
      <c r="G72" s="1" t="s">
        <v>20</v>
      </c>
      <c r="H72" s="1" t="s">
        <v>72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20</v>
      </c>
      <c r="Q72" s="1" t="s">
        <v>20</v>
      </c>
    </row>
    <row r="73" spans="1:17" x14ac:dyDescent="0.25">
      <c r="A73" s="1" t="s">
        <v>20</v>
      </c>
      <c r="B73" s="2" t="s">
        <v>20</v>
      </c>
      <c r="C73" s="2" t="s">
        <v>20</v>
      </c>
      <c r="D73" s="1" t="s">
        <v>20</v>
      </c>
      <c r="E73" s="1" t="s">
        <v>20</v>
      </c>
      <c r="F73" s="1" t="s">
        <v>87</v>
      </c>
      <c r="G73" s="1" t="s">
        <v>20</v>
      </c>
      <c r="H73" s="1" t="s">
        <v>88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20</v>
      </c>
      <c r="Q73" s="1" t="s">
        <v>20</v>
      </c>
    </row>
    <row r="74" spans="1:17" x14ac:dyDescent="0.25">
      <c r="A74" s="1" t="s">
        <v>20</v>
      </c>
      <c r="B74" s="2" t="s">
        <v>20</v>
      </c>
      <c r="C74" s="2" t="s">
        <v>20</v>
      </c>
      <c r="D74" s="1" t="s">
        <v>20</v>
      </c>
      <c r="E74" s="1" t="s">
        <v>20</v>
      </c>
      <c r="F74" s="1" t="s">
        <v>89</v>
      </c>
      <c r="G74" s="1" t="s">
        <v>20</v>
      </c>
      <c r="H74" s="1" t="s">
        <v>90</v>
      </c>
      <c r="I74" s="1" t="s">
        <v>20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20</v>
      </c>
      <c r="Q74" s="1" t="s">
        <v>20</v>
      </c>
    </row>
    <row r="75" spans="1:17" x14ac:dyDescent="0.25">
      <c r="A75" s="1" t="s">
        <v>20</v>
      </c>
      <c r="B75" s="2" t="s">
        <v>20</v>
      </c>
      <c r="C75" s="2" t="s">
        <v>20</v>
      </c>
      <c r="D75" s="1" t="s">
        <v>20</v>
      </c>
      <c r="E75" s="1" t="s">
        <v>20</v>
      </c>
      <c r="F75" s="1" t="s">
        <v>91</v>
      </c>
      <c r="G75" s="1" t="s">
        <v>20</v>
      </c>
      <c r="H75" s="1" t="s">
        <v>92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20</v>
      </c>
      <c r="Q75" s="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Chugunyaka</dc:creator>
  <cp:lastModifiedBy>Chugunyaka</cp:lastModifiedBy>
  <dcterms:created xsi:type="dcterms:W3CDTF">2026-09-19T15:38:51Z</dcterms:created>
  <dcterms:modified xsi:type="dcterms:W3CDTF">2026-09-19T15:41:43Z</dcterms:modified>
</cp:coreProperties>
</file>